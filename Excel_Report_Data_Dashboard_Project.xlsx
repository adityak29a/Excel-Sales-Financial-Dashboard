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DataAnalysisProject\"/>
    </mc:Choice>
  </mc:AlternateContent>
  <bookViews>
    <workbookView xWindow="0" yWindow="0" windowWidth="13584" windowHeight="5772" firstSheet="2" activeTab="2"/>
  </bookViews>
  <sheets>
    <sheet name="Sheet2" sheetId="2" state="hidden" r:id="rId1"/>
    <sheet name="Sheet3" sheetId="3" state="hidden" r:id="rId2"/>
    <sheet name="Dashboard" sheetId="11" r:id="rId3"/>
    <sheet name="Pivot1" sheetId="5" r:id="rId4"/>
    <sheet name="Pivot2" sheetId="6" r:id="rId5"/>
    <sheet name="Pivot3" sheetId="7" r:id="rId6"/>
    <sheet name="Pivot4" sheetId="8" r:id="rId7"/>
    <sheet name="Pivot5" sheetId="9" r:id="rId8"/>
    <sheet name="Data" sheetId="1" r:id="rId9"/>
  </sheets>
  <definedNames>
    <definedName name="_xlnm._FilterDatabase" localSheetId="8" hidden="1">Data!$A$1:$L$2001</definedName>
  </definedNames>
  <calcPr calcId="162913"/>
  <pivotCaches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<sst xmlns="http://schemas.openxmlformats.org/spreadsheetml/2006/main" count="14175" uniqueCount="2054">
  <si>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</si>
  <si>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</si>
  <si>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</si>
  <si>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</si>
  <si>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</si>
  <si>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</si>
  <si>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</si>
  <si>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</si>
  <si>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</si>
  <si>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</si>
  <si>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</si>
  <si>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</si>
  <si>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</si>
  <si>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</si>
  <si>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</si>
  <si>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</si>
  <si>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</si>
  <si>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</si>
  <si>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</si>
  <si>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</si>
  <si>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</si>
  <si>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</si>
  <si>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</si>
  <si>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</si>
  <si>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</si>
  <si>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</si>
  <si>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</si>
  <si>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</si>
  <si>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</si>
  <si>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</si>
  <si>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</si>
  <si>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</si>
  <si>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</si>
  <si>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</si>
  <si>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</si>
  <si>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</si>
  <si>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</si>
  <si>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</si>
  <si>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</si>
  <si>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</si>
  <si>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</si>
  <si>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</si>
  <si>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</si>
  <si>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</si>
  <si>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</si>
  <si>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</si>
  <si>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</si>
  <si>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</si>
  <si>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</si>
  <si>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</si>
  <si>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</si>
  <si>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</si>
  <si>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</si>
  <si>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</si>
  <si>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</si>
  <si>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</si>
  <si>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</si>
  <si>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</si>
  <si>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</si>
  <si>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</si>
  <si>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</si>
  <si>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</si>
  <si>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</si>
  <si>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</si>
  <si>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</si>
  <si>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</si>
  <si>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</si>
  <si>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</si>
  <si>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</si>
  <si>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</si>
  <si>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</si>
  <si>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</si>
  <si>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</si>
  <si>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</si>
  <si>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</si>
  <si>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</si>
  <si>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</si>
  <si>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</si>
  <si>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</si>
  <si>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</si>
  <si>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</si>
  <si>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</si>
  <si>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</si>
  <si>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</si>
  <si>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</si>
  <si>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</si>
  <si>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</si>
  <si>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</si>
  <si>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</si>
  <si>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</si>
  <si>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</si>
  <si>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</si>
  <si>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</si>
  <si>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</si>
  <si>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</si>
  <si>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</si>
  <si>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</si>
  <si>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</si>
  <si>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</si>
  <si>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</si>
  <si>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</si>
  <si>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</si>
  <si>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</si>
  <si>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</si>
  <si>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</si>
  <si>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</si>
  <si>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</si>
  <si>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</si>
  <si>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</si>
  <si>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</si>
  <si>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</si>
  <si>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</si>
  <si>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</si>
  <si>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</si>
  <si>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</si>
  <si>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</si>
  <si>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</si>
  <si>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</si>
  <si>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</si>
  <si>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</si>
  <si>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</si>
  <si>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</si>
  <si>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</si>
  <si>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</si>
  <si>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</si>
  <si>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</si>
  <si>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</si>
  <si>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</si>
  <si>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</si>
  <si>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</si>
  <si>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</si>
  <si>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</si>
  <si>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</si>
  <si>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</si>
  <si>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</si>
  <si>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</si>
  <si>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</si>
  <si>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</si>
  <si>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</si>
  <si>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</si>
  <si>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</si>
  <si>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</si>
  <si>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</si>
  <si>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</si>
  <si>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</si>
  <si>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</si>
  <si>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</si>
  <si>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</si>
  <si>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</si>
  <si>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</si>
  <si>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</si>
  <si>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</si>
  <si>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</si>
  <si>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</si>
  <si>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</si>
  <si>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</si>
  <si>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</si>
  <si>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</si>
  <si>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</si>
  <si>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</si>
  <si>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</si>
  <si>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</si>
  <si>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</si>
  <si>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</si>
  <si>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</si>
  <si>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</si>
  <si>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</si>
  <si>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</si>
  <si>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</si>
  <si>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</si>
  <si>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</si>
  <si>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</si>
  <si>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</si>
  <si>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</si>
  <si>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</si>
  <si>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</si>
  <si>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</si>
  <si>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</si>
  <si>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</si>
  <si>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</si>
  <si>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</si>
  <si>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</si>
  <si>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</si>
  <si>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</si>
  <si>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</si>
  <si>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</si>
  <si>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</si>
  <si>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</si>
  <si>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</si>
  <si>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</si>
  <si>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</si>
  <si>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</si>
  <si>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</si>
  <si>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</si>
  <si>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</si>
  <si>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</si>
  <si>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</si>
  <si>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</si>
  <si>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</si>
  <si>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</si>
  <si>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</si>
  <si>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</si>
  <si>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</si>
  <si>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</si>
  <si>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</si>
  <si>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</si>
  <si>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</si>
  <si>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</si>
  <si>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</si>
  <si>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</si>
  <si>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</si>
  <si>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</si>
  <si>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</si>
  <si>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</si>
  <si>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</si>
  <si>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</si>
  <si>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</si>
  <si>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</si>
  <si>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</si>
  <si>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</si>
  <si>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</si>
  <si>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</si>
  <si>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</si>
  <si>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</si>
  <si>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</si>
  <si>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</si>
  <si>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</si>
  <si>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</si>
  <si>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</si>
  <si>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</si>
  <si>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</si>
  <si>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</si>
  <si>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</si>
  <si>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</si>
  <si>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</si>
  <si>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</si>
  <si>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</si>
  <si>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</si>
  <si>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</si>
  <si>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</si>
  <si>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</si>
  <si>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</si>
  <si>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</si>
  <si>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</si>
  <si>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</si>
  <si>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</si>
  <si>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</si>
  <si>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</si>
  <si>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</si>
  <si>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</si>
  <si>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</si>
  <si>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</si>
  <si>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</si>
  <si>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</si>
  <si>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</si>
  <si>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</si>
  <si>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</si>
  <si>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</si>
  <si>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</si>
  <si>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</si>
  <si>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</si>
  <si>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</si>
  <si>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</si>
  <si>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</si>
  <si>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</si>
  <si>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</si>
  <si>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</si>
  <si>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</si>
  <si>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</si>
  <si>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</si>
  <si>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</si>
  <si>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</si>
  <si>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</si>
  <si>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</si>
  <si>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</si>
  <si>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</si>
  <si>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</si>
  <si>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</si>
  <si>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</si>
  <si>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</si>
  <si>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</si>
  <si>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</si>
  <si>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</si>
  <si>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</si>
  <si>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</si>
  <si>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</si>
  <si>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</si>
  <si>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</si>
  <si>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</si>
  <si>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</si>
  <si>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</si>
  <si>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</si>
  <si>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</si>
  <si>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</si>
  <si>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</si>
  <si>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</si>
  <si>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</si>
  <si>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</si>
  <si>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</si>
  <si>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</si>
  <si>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</si>
  <si>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</si>
  <si>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</si>
  <si>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</si>
  <si>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</si>
  <si>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</si>
  <si>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</si>
  <si>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</si>
  <si>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</si>
  <si>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</si>
  <si>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</si>
  <si>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</si>
  <si>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</si>
  <si>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</si>
  <si>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</si>
  <si>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</si>
  <si>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</si>
  <si>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</si>
  <si>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</si>
  <si>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</si>
  <si>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</si>
  <si>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</si>
  <si>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</si>
  <si>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</si>
  <si>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</si>
  <si>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</si>
  <si>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</si>
  <si>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</si>
  <si>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</si>
  <si>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</si>
  <si>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</si>
  <si>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</si>
  <si>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</si>
  <si>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</si>
  <si>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</si>
  <si>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</si>
  <si>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</si>
  <si>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</si>
  <si>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</si>
  <si>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</si>
  <si>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</si>
  <si>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</si>
  <si>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</si>
  <si>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</si>
  <si>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</si>
  <si>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</si>
  <si>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</si>
  <si>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</si>
  <si>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</si>
  <si>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</si>
  <si>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</si>
  <si>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</si>
  <si>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</si>
  <si>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</si>
  <si>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</si>
  <si>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</si>
  <si>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</si>
  <si>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</si>
  <si>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</si>
  <si>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</si>
  <si>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</si>
  <si>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</si>
  <si>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</si>
  <si>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</si>
  <si>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</si>
  <si>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</si>
  <si>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</si>
  <si>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</si>
  <si>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</si>
  <si>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</si>
  <si>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</si>
  <si>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</si>
  <si>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</si>
  <si>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</si>
  <si>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</si>
  <si>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</si>
  <si>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</si>
  <si>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</si>
  <si>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</si>
  <si>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</si>
  <si>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</si>
  <si>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</si>
  <si>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</si>
  <si>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</si>
  <si>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</si>
  <si>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</si>
  <si>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</si>
  <si>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</si>
  <si>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</si>
  <si>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</si>
  <si>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</si>
  <si>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</si>
  <si>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</si>
  <si>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</si>
  <si>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</si>
  <si>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</si>
  <si>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</si>
  <si>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</si>
  <si>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</si>
  <si>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</si>
  <si>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</si>
  <si>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</si>
  <si>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</si>
  <si>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</si>
  <si>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</si>
  <si>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</si>
  <si>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</si>
  <si>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</si>
  <si>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</si>
  <si>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</si>
  <si>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</si>
  <si>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</si>
  <si>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</si>
  <si>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</si>
  <si>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</si>
  <si>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</si>
  <si>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</si>
  <si>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</si>
  <si>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</si>
  <si>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</si>
  <si>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</si>
  <si>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</si>
  <si>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</si>
  <si>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</si>
  <si>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</si>
  <si>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</si>
  <si>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</si>
  <si>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</si>
  <si>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</si>
  <si>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</si>
  <si>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</si>
  <si>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</si>
  <si>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</si>
  <si>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</si>
  <si>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</si>
  <si>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</si>
  <si>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</si>
  <si>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</si>
  <si>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</si>
  <si>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</si>
  <si>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</si>
  <si>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</si>
  <si>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</si>
  <si>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</si>
  <si>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</si>
  <si>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</si>
  <si>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</si>
  <si>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</si>
  <si>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</si>
  <si>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</si>
  <si>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</si>
  <si>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</si>
  <si>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</si>
  <si>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</si>
  <si>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</si>
  <si>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</si>
  <si>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</si>
  <si>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</si>
  <si>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</si>
  <si>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</si>
  <si>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</si>
  <si>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</si>
  <si>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</si>
  <si>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</si>
  <si>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</si>
  <si>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</si>
  <si>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</si>
  <si>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</si>
  <si>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</si>
  <si>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</si>
  <si>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</si>
  <si>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</si>
  <si>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</si>
  <si>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</si>
  <si>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</si>
  <si>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</si>
  <si>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</si>
  <si>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</si>
  <si>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</si>
  <si>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</si>
  <si>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</si>
  <si>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</si>
  <si>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</si>
  <si>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</si>
  <si>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</si>
  <si>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</si>
  <si>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</si>
  <si>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</si>
  <si>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</si>
  <si>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</si>
  <si>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</si>
  <si>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</si>
  <si>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</si>
  <si>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</si>
  <si>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</si>
  <si>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</si>
  <si>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</si>
  <si>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</si>
  <si>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</si>
  <si>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</si>
  <si>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</si>
  <si>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</si>
  <si>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</si>
  <si>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</si>
  <si>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</si>
  <si>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</si>
  <si>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</si>
  <si>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</si>
  <si>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</si>
  <si>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</si>
  <si>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</si>
  <si>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</si>
  <si>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</si>
  <si>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</si>
  <si>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</si>
  <si>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</si>
  <si>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</si>
  <si>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</si>
  <si>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</si>
  <si>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</si>
  <si>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</si>
  <si>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</si>
  <si>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</si>
  <si>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</si>
  <si>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</si>
  <si>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</si>
  <si>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</si>
  <si>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</si>
  <si>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</si>
  <si>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</si>
  <si>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</si>
  <si>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</si>
  <si>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</si>
  <si>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</si>
  <si>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</si>
  <si>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</si>
  <si>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</si>
  <si>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</si>
  <si>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</si>
  <si>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</si>
  <si>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</si>
  <si>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</si>
  <si>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</si>
  <si>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</si>
  <si>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</si>
  <si>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</si>
  <si>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</si>
  <si>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</si>
  <si>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</si>
  <si>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</si>
  <si>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</si>
  <si>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</si>
  <si>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</si>
  <si>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</si>
  <si>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</si>
  <si>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</si>
  <si>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</si>
  <si>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</si>
  <si>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</si>
  <si>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</si>
  <si>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</si>
  <si>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</si>
  <si>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</si>
  <si>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</si>
  <si>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</si>
  <si>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</si>
  <si>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</si>
  <si>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</si>
  <si>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</si>
  <si>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</si>
  <si>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</si>
  <si>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</si>
  <si>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</si>
  <si>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</si>
  <si>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</si>
  <si>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</si>
  <si>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</si>
  <si>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</si>
  <si>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</si>
  <si>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</si>
  <si>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</si>
  <si>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</si>
  <si>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</si>
  <si>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</si>
  <si>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</si>
  <si>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</si>
  <si>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</si>
  <si>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</si>
  <si>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</si>
  <si>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</si>
  <si>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</si>
  <si>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</si>
  <si>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</si>
  <si>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</si>
  <si>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</si>
  <si>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</si>
  <si>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</si>
  <si>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</si>
  <si>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</si>
  <si>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</si>
  <si>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</si>
  <si>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</si>
  <si>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</si>
  <si>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</si>
  <si>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</si>
  <si>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</si>
  <si>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</si>
  <si>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</si>
  <si>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</si>
  <si>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</si>
  <si>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</si>
  <si>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</si>
  <si>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</si>
  <si>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</si>
  <si>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</si>
  <si>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</si>
  <si>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</si>
  <si>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</si>
  <si>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</si>
  <si>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</si>
  <si>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</si>
  <si>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</si>
  <si>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</si>
  <si>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</si>
  <si>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</si>
  <si>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</si>
  <si>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</si>
  <si>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</si>
  <si>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</si>
  <si>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</si>
  <si>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</si>
  <si>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</si>
  <si>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</si>
  <si>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</si>
  <si>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</si>
  <si>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</si>
  <si>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</si>
  <si>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</si>
  <si>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</si>
  <si>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</si>
  <si>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</si>
  <si>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</si>
  <si>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</si>
  <si>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</si>
  <si>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</si>
  <si>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</si>
  <si>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</si>
  <si>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</si>
  <si>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</si>
  <si>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</si>
  <si>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</si>
  <si>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</si>
  <si>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</si>
  <si>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</si>
  <si>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</si>
  <si>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</si>
  <si>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</si>
  <si>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</si>
  <si>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</si>
  <si>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</si>
  <si>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</si>
  <si>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</si>
  <si>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</si>
  <si>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</si>
  <si>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</si>
  <si>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</si>
  <si>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</si>
  <si>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</si>
  <si>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</si>
  <si>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</si>
  <si>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</si>
  <si>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</si>
  <si>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</si>
  <si>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</si>
  <si>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</si>
  <si>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</si>
  <si>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</si>
  <si>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</si>
  <si>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</si>
  <si>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</si>
  <si>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</si>
  <si>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</si>
  <si>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</si>
  <si>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</si>
  <si>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</si>
  <si>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</si>
  <si>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</si>
  <si>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</si>
  <si>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</si>
  <si>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</si>
  <si>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</si>
  <si>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</si>
  <si>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</si>
  <si>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</si>
  <si>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</si>
  <si>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</si>
  <si>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</si>
  <si>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</si>
  <si>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</si>
  <si>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</si>
  <si>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</si>
  <si>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</si>
  <si>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</si>
  <si>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</si>
  <si>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</si>
  <si>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</si>
  <si>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</si>
  <si>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</si>
  <si>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</si>
  <si>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</si>
  <si>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</si>
  <si>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</si>
  <si>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</si>
  <si>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</si>
  <si>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</si>
  <si>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</si>
  <si>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</si>
  <si>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</si>
  <si>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</si>
  <si>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</si>
  <si>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</si>
  <si>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</si>
  <si>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</si>
  <si>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</si>
  <si>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</si>
  <si>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</si>
  <si>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</si>
  <si>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</si>
  <si>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</si>
  <si>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</si>
  <si>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</si>
  <si>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</si>
  <si>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</si>
  <si>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</si>
  <si>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</si>
  <si>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</si>
  <si>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</si>
  <si>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</si>
  <si>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</si>
  <si>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</si>
  <si>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</si>
  <si>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</si>
  <si>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</si>
  <si>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</si>
  <si>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</si>
  <si>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</si>
  <si>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</si>
  <si>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</si>
  <si>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</si>
  <si>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</si>
  <si>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</si>
  <si>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</si>
  <si>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</si>
  <si>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</si>
  <si>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</si>
  <si>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</si>
  <si>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</si>
  <si>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</si>
  <si>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</si>
  <si>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</si>
  <si>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</si>
  <si>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</si>
  <si>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</si>
  <si>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</si>
  <si>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</si>
  <si>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</si>
  <si>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</si>
  <si>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</si>
  <si>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</si>
  <si>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</si>
  <si>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</si>
  <si>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</si>
  <si>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</si>
  <si>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</si>
  <si>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</si>
  <si>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</si>
  <si>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</si>
  <si>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</si>
  <si>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</si>
  <si>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</si>
  <si>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</si>
  <si>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</si>
  <si>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</si>
  <si>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</si>
  <si>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</si>
  <si>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</si>
  <si>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</si>
  <si>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</si>
  <si>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</si>
  <si>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</si>
  <si>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</si>
  <si>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</si>
  <si>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</si>
  <si>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</si>
  <si>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</si>
  <si>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</si>
  <si>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</si>
  <si>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</si>
  <si>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</si>
  <si>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</si>
  <si>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</si>
  <si>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</si>
  <si>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</si>
  <si>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</si>
  <si>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</si>
  <si>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</si>
  <si>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</si>
  <si>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</si>
  <si>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</si>
  <si>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</si>
  <si>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</si>
  <si>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</si>
  <si>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</si>
  <si>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</si>
  <si>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</si>
  <si>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</si>
  <si>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</si>
  <si>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</si>
  <si>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</si>
  <si>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</si>
  <si>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</si>
  <si>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</si>
  <si>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</si>
  <si>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</si>
  <si>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</si>
  <si>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</si>
  <si>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</si>
  <si>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</si>
  <si>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</si>
  <si>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</si>
  <si>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</si>
  <si>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</si>
  <si>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</si>
  <si>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</si>
  <si>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</si>
  <si>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</si>
  <si>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</si>
  <si>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</si>
  <si>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</si>
  <si>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</si>
  <si>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</si>
  <si>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</si>
  <si>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</si>
  <si>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</si>
  <si>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</si>
  <si>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</si>
  <si>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</si>
  <si>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</si>
  <si>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</si>
  <si>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</si>
  <si>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</si>
  <si>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</si>
  <si>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</si>
  <si>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</si>
  <si>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</si>
  <si>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</si>
  <si>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</si>
  <si>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</si>
  <si>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</si>
  <si>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</si>
  <si>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</si>
  <si>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</si>
  <si>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</si>
  <si>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</si>
  <si>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</si>
  <si>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</si>
  <si>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</si>
  <si>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</si>
  <si>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</si>
  <si>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</si>
  <si>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</si>
  <si>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</si>
  <si>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</si>
  <si>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</si>
  <si>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</si>
  <si>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</si>
  <si>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</si>
  <si>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</si>
  <si>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</si>
  <si>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</si>
  <si>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</si>
  <si>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</si>
  <si>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</si>
  <si>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</si>
  <si>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</si>
  <si>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</si>
  <si>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</si>
  <si>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</si>
  <si>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</si>
  <si>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</si>
  <si>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</si>
  <si>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</si>
  <si>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</si>
  <si>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</si>
  <si>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</si>
  <si>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</si>
  <si>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</si>
  <si>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</si>
  <si>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</si>
  <si>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</si>
  <si>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</si>
  <si>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</si>
  <si>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</si>
  <si>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</si>
  <si>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</si>
  <si>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</si>
  <si>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</si>
  <si>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</si>
  <si>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</si>
  <si>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</si>
  <si>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</si>
  <si>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</si>
  <si>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</si>
  <si>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</si>
  <si>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</si>
  <si>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</si>
  <si>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</si>
  <si>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</si>
  <si>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</si>
  <si>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</si>
  <si>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</si>
  <si>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</si>
  <si>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</si>
  <si>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</si>
  <si>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</si>
  <si>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</si>
  <si>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</si>
  <si>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</si>
  <si>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</si>
  <si>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</si>
  <si>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</si>
  <si>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</si>
  <si>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</si>
  <si>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</si>
  <si>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</si>
  <si>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</si>
  <si>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</si>
  <si>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</si>
  <si>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</si>
  <si>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</si>
  <si>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</si>
  <si>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</si>
  <si>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</si>
  <si>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</si>
  <si>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</si>
  <si>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</si>
  <si>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</si>
  <si>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</si>
  <si>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</si>
  <si>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</si>
  <si>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</si>
  <si>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</si>
  <si>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</si>
  <si>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</si>
  <si>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</si>
  <si>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</si>
  <si>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</si>
  <si>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</si>
  <si>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</si>
  <si>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</si>
  <si>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</si>
  <si>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</si>
  <si>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</si>
  <si>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</si>
  <si>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</si>
  <si>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</si>
  <si>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</si>
  <si>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</si>
  <si>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</si>
  <si>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</si>
  <si>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</si>
  <si>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</si>
  <si>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</si>
  <si>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</si>
  <si>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</si>
  <si>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</si>
  <si>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</si>
  <si>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</si>
  <si>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</si>
  <si>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</si>
  <si>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</si>
  <si>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</si>
  <si>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</si>
  <si>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</si>
  <si>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</si>
  <si>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</si>
  <si>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</si>
  <si>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</si>
  <si>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</si>
  <si>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</si>
  <si>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</si>
  <si>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</si>
  <si>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</si>
  <si>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</si>
  <si>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</si>
  <si>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</si>
  <si>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</si>
  <si>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</si>
  <si>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</si>
  <si>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</si>
  <si>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</si>
  <si>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</si>
  <si>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</si>
  <si>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</si>
  <si>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</si>
  <si>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</si>
  <si>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</si>
  <si>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</si>
  <si>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</si>
  <si>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</si>
  <si>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</si>
  <si>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</si>
  <si>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</si>
  <si>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</si>
  <si>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</si>
  <si>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</si>
  <si>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</si>
  <si>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</si>
  <si>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</si>
  <si>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</si>
  <si>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</si>
  <si>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</si>
  <si>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</si>
  <si>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</si>
  <si>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</si>
  <si>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</si>
  <si>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</si>
  <si>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</si>
  <si>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</si>
  <si>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</si>
  <si>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</si>
  <si>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</si>
  <si>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</si>
  <si>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</si>
  <si>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</si>
  <si>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</si>
  <si>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</si>
  <si>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</si>
  <si>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</si>
  <si>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</si>
  <si>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</si>
  <si>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</si>
  <si>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</si>
  <si>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</si>
  <si>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</si>
  <si>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</si>
  <si>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</si>
  <si>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</si>
  <si>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</si>
  <si>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</si>
  <si>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</si>
  <si>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</si>
  <si>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</si>
  <si>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</si>
  <si>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</si>
  <si>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</si>
  <si>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</si>
  <si>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</si>
  <si>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</si>
  <si>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</si>
  <si>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</si>
  <si>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</si>
  <si>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</si>
  <si>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</si>
  <si>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</si>
  <si>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</si>
  <si>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</si>
  <si>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</si>
  <si>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</si>
  <si>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</si>
  <si>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</si>
  <si>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</si>
  <si>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</si>
  <si>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</si>
  <si>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</si>
  <si>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</si>
  <si>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</si>
  <si>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</si>
  <si>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</si>
  <si>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</si>
  <si>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</si>
  <si>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</si>
  <si>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</si>
  <si>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</si>
  <si>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</si>
  <si>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</si>
  <si>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</si>
  <si>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</si>
  <si>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</si>
  <si>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</si>
  <si>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</si>
  <si>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</si>
  <si>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</si>
  <si>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</si>
  <si>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</si>
  <si>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</si>
  <si>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</si>
  <si>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</si>
  <si>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</si>
  <si>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</si>
  <si>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</si>
  <si>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</si>
  <si>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</si>
  <si>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</si>
  <si>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</si>
  <si>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</si>
  <si>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</si>
  <si>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</si>
  <si>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</si>
  <si>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</si>
  <si>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</si>
  <si>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</si>
  <si>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</si>
  <si>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</si>
  <si>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</si>
  <si>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</si>
  <si>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</si>
  <si>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</si>
  <si>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</si>
  <si>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</si>
  <si>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</si>
  <si>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</si>
  <si>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</si>
  <si>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</si>
  <si>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</si>
  <si>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</si>
  <si>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</si>
  <si>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</si>
  <si>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</si>
  <si>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</si>
  <si>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</si>
  <si>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</si>
  <si>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</si>
  <si>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</si>
  <si>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</si>
  <si>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</si>
  <si>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</si>
  <si>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</si>
  <si>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</si>
  <si>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</si>
  <si>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</si>
  <si>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</si>
  <si>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</si>
  <si>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</si>
  <si>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</si>
  <si>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</si>
  <si>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</si>
  <si>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</si>
  <si>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</si>
  <si>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</si>
  <si>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</si>
  <si>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</si>
  <si>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</si>
  <si>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</si>
  <si>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</si>
  <si>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</si>
  <si>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</si>
  <si>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</si>
  <si>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</si>
  <si>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</si>
  <si>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</si>
  <si>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</si>
  <si>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</si>
  <si>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</si>
  <si>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</si>
  <si>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</si>
  <si>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</si>
  <si>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</si>
  <si>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</si>
  <si>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</si>
  <si>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</si>
  <si>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</si>
  <si>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</si>
  <si>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</si>
  <si>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</si>
  <si>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</si>
  <si>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</si>
  <si>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</si>
  <si>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</si>
  <si>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</si>
  <si>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</si>
  <si>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</si>
  <si>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</si>
  <si>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</si>
  <si>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</si>
  <si>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</si>
  <si>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</si>
  <si>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</si>
  <si>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</si>
  <si>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</si>
  <si>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</si>
  <si>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</si>
  <si>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</si>
  <si>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</si>
  <si>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</si>
  <si>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</si>
  <si>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</si>
  <si>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</si>
  <si>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</si>
  <si>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</si>
  <si>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</si>
  <si>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</si>
  <si>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</si>
  <si>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</si>
  <si>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</si>
  <si>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</si>
  <si>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</si>
  <si>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</si>
  <si>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</si>
  <si>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</si>
  <si>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</si>
  <si>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</si>
  <si>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</si>
  <si>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</si>
  <si>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</si>
  <si>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</si>
  <si>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</si>
  <si>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</si>
  <si>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</si>
  <si>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</si>
  <si>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</si>
  <si>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</si>
  <si>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</si>
  <si>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</si>
  <si>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</si>
  <si>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</si>
  <si>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</si>
  <si>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</si>
  <si>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</si>
  <si>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</si>
  <si>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</si>
  <si>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</si>
  <si>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</si>
  <si>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</si>
  <si>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</si>
  <si>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</si>
  <si>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</si>
  <si>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</si>
  <si>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</si>
  <si>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</si>
  <si>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</si>
  <si>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</si>
  <si>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</si>
  <si>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</si>
  <si>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</si>
  <si>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</si>
  <si>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</si>
  <si>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</si>
  <si>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</si>
  <si>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</si>
  <si>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</si>
  <si>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</si>
  <si>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</si>
  <si>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</si>
  <si>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</si>
  <si>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</si>
  <si>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</si>
  <si>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</si>
  <si>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</si>
  <si>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</si>
  <si>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</si>
  <si>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</si>
  <si>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</si>
  <si>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</si>
  <si>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</si>
  <si>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</si>
  <si>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</si>
  <si>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</si>
  <si>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</si>
  <si>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</si>
  <si>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</si>
  <si>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</si>
  <si>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</si>
  <si>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</si>
  <si>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</si>
  <si>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</si>
  <si>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</si>
  <si>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</si>
  <si>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</si>
  <si>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</si>
  <si>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</si>
  <si>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</si>
  <si>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</si>
  <si>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</si>
  <si>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</si>
  <si>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</si>
  <si>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</si>
  <si>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</si>
  <si>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</si>
  <si>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</si>
  <si>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</si>
  <si>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</si>
  <si>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</si>
  <si>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</si>
  <si>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</si>
  <si>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</si>
  <si>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</si>
  <si>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</si>
  <si>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</si>
  <si>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</si>
  <si>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</si>
  <si>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</si>
  <si>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</si>
  <si>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</si>
  <si>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</si>
  <si>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</si>
  <si>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</si>
  <si>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</si>
  <si>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</si>
  <si>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</si>
  <si>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</si>
  <si>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</si>
  <si>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</si>
  <si>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</si>
  <si>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</si>
  <si>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</si>
  <si>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</si>
  <si>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</si>
  <si>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</si>
  <si>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</si>
  <si>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</si>
  <si>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</si>
  <si>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</si>
  <si>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</si>
  <si>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</si>
  <si>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</si>
  <si>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</si>
  <si>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</si>
  <si>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</si>
  <si>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</si>
  <si>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</si>
  <si>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</si>
  <si>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</si>
  <si>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</si>
  <si>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</si>
  <si>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</si>
  <si>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</si>
  <si>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</si>
  <si>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</si>
  <si>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</si>
  <si>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</si>
  <si>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</si>
  <si>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</si>
  <si>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</si>
  <si>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</si>
  <si>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</si>
  <si>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</si>
  <si>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</si>
  <si>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</si>
  <si>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</si>
  <si>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</si>
  <si>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</si>
  <si>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</si>
  <si>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</si>
  <si>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</si>
  <si>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</si>
  <si>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</si>
  <si>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</si>
  <si>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</si>
  <si>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</si>
  <si>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</si>
  <si>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</si>
  <si>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</si>
  <si>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</si>
  <si>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</si>
  <si>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</si>
  <si>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</si>
  <si>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</si>
  <si>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</si>
  <si>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</si>
  <si>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</si>
  <si>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</si>
  <si>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</si>
  <si>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</si>
  <si>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</si>
  <si>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</si>
  <si>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</si>
  <si>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</si>
  <si>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</si>
  <si>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</si>
  <si>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</si>
  <si>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</si>
  <si>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</si>
  <si>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</si>
  <si>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</si>
  <si>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</si>
  <si>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</si>
  <si>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</si>
  <si>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</si>
  <si>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</si>
  <si>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</si>
  <si>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</si>
  <si>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</si>
  <si>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</si>
  <si>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</si>
  <si>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</si>
  <si>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</si>
  <si>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</si>
  <si>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</si>
  <si>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</si>
  <si>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</si>
  <si>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</si>
  <si>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</si>
  <si>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</si>
  <si>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</si>
  <si>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</si>
  <si>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</si>
  <si>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</si>
  <si>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</si>
  <si>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</si>
  <si>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</si>
  <si>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</si>
  <si>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</si>
  <si>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</si>
  <si>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</si>
  <si>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</si>
  <si>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</si>
  <si>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</si>
  <si>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</si>
  <si>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</si>
  <si>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</si>
  <si>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</si>
  <si>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</si>
  <si>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</si>
  <si>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</si>
  <si>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</si>
  <si>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</si>
  <si>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</si>
  <si>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</si>
  <si>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</si>
  <si>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</si>
  <si>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</si>
  <si>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</si>
  <si>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</si>
  <si>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</si>
  <si>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</si>
  <si>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</si>
  <si>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</si>
  <si>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</si>
  <si>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</si>
  <si>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</si>
  <si>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</si>
  <si>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</si>
  <si>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</si>
  <si>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</si>
  <si>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</si>
  <si>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</si>
  <si>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</si>
  <si>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</si>
  <si>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</si>
  <si>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</si>
  <si>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</si>
  <si>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</si>
  <si>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</si>
  <si>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</si>
  <si>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</si>
  <si>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</si>
  <si>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</si>
  <si>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</si>
  <si>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</si>
  <si>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</si>
  <si>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</si>
  <si>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</si>
  <si>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</si>
  <si>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</si>
  <si>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</si>
  <si>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</si>
  <si>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</si>
  <si>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</si>
  <si>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</si>
  <si>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</si>
  <si>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</si>
  <si>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</si>
  <si>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</si>
  <si>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</si>
  <si>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</si>
  <si>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</si>
  <si>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</si>
  <si>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</si>
  <si>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</si>
  <si>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</si>
  <si>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</si>
  <si>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</si>
  <si>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</si>
  <si>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</si>
  <si>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</si>
  <si>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</si>
  <si>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</si>
  <si>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</si>
  <si>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</si>
  <si>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</si>
  <si>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</si>
  <si>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</si>
  <si>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</si>
  <si>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</si>
  <si>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</si>
  <si>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</si>
  <si>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</si>
  <si>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</si>
  <si>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</si>
  <si>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</si>
  <si>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</si>
  <si>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</si>
  <si>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</si>
  <si>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</si>
  <si>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</si>
  <si>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</si>
  <si>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</si>
  <si>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</si>
  <si>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</si>
  <si>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</si>
  <si>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</si>
  <si>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</si>
  <si>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</si>
  <si>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</si>
  <si>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</si>
  <si>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</si>
  <si>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</si>
  <si>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</si>
  <si>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</si>
  <si>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</si>
  <si>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</si>
  <si>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</si>
  <si>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</si>
  <si>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</si>
  <si>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</si>
  <si>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</si>
  <si>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</si>
  <si>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</si>
  <si>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</si>
  <si>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</si>
  <si>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</si>
  <si>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</si>
  <si>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</si>
  <si>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</si>
  <si>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</si>
  <si>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</si>
  <si>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</si>
  <si>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</si>
  <si>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</si>
  <si>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</si>
  <si>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</si>
  <si>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</si>
  <si>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</si>
  <si>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</si>
  <si>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</si>
  <si>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</si>
  <si>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</si>
  <si>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</si>
  <si>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</si>
  <si>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</si>
  <si>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</si>
  <si>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</si>
  <si>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</si>
  <si>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</si>
  <si>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</si>
  <si>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</si>
  <si>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</si>
  <si>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</si>
  <si>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</si>
  <si>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</si>
  <si>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</si>
  <si>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</si>
  <si>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</si>
  <si>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</si>
  <si>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</si>
  <si>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</si>
  <si>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</si>
  <si>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</si>
  <si>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</si>
  <si>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</si>
  <si>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</si>
  <si>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</si>
  <si>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</si>
  <si>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</si>
  <si>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</si>
  <si>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</si>
  <si>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</si>
  <si>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</si>
  <si>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</si>
  <si>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</si>
  <si>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</si>
  <si>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</si>
  <si>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</si>
  <si>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</si>
  <si>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</si>
  <si>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</si>
  <si>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</si>
  <si>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</si>
  <si>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</si>
  <si>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</si>
  <si>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</si>
  <si>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</si>
  <si>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</si>
  <si>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</si>
  <si>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</si>
  <si>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</si>
  <si>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</si>
  <si>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</si>
  <si>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</si>
  <si>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</si>
  <si>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</si>
  <si>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</si>
  <si>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</si>
  <si>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</si>
  <si>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</si>
  <si>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</si>
  <si>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</si>
  <si>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</si>
  <si>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</si>
  <si>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</si>
  <si>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</si>
  <si>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</si>
  <si>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</si>
  <si>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</si>
  <si>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</si>
  <si>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</si>
  <si>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</si>
  <si>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</si>
  <si>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</si>
  <si>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</si>
  <si>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</si>
  <si>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</si>
  <si>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</si>
  <si>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</si>
  <si>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</si>
  <si>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</si>
  <si>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</si>
  <si>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</si>
  <si>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</si>
  <si>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</si>
  <si>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</si>
  <si>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</si>
  <si>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</si>
  <si>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</si>
  <si>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</si>
  <si>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</si>
  <si>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</si>
  <si>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</si>
  <si>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</si>
  <si>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</si>
  <si>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</si>
  <si>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</si>
  <si>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</si>
  <si>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</si>
  <si>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</si>
  <si>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</si>
  <si>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</si>
  <si>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</si>
  <si>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</si>
  <si>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</si>
  <si>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</si>
  <si>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</si>
  <si>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</si>
  <si>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</si>
  <si>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</si>
  <si>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</si>
  <si>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</si>
  <si>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</si>
  <si>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</si>
  <si>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</si>
  <si>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</si>
  <si>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</si>
  <si>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</si>
  <si>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</si>
  <si>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</si>
  <si>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</si>
  <si>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</si>
  <si>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</si>
  <si>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</si>
  <si>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</si>
  <si>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</si>
  <si>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</si>
  <si>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</si>
  <si>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</si>
  <si>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</si>
  <si>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</si>
  <si>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</si>
  <si>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</si>
  <si>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</si>
  <si>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</si>
  <si>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</si>
  <si>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</si>
  <si>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</si>
  <si>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</si>
  <si>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</si>
  <si>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</si>
  <si>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</si>
  <si>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</si>
  <si>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</si>
  <si>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</si>
  <si>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</si>
  <si>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</si>
  <si>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</si>
  <si>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</si>
  <si>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</si>
  <si>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</si>
  <si>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</si>
  <si>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</si>
  <si>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</si>
  <si>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</si>
  <si>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</si>
  <si>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</si>
  <si>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</si>
  <si>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</si>
  <si>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</si>
  <si>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</si>
  <si>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</si>
  <si>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</si>
  <si>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</si>
  <si>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</si>
  <si>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</si>
  <si>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</si>
  <si>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</si>
  <si>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</si>
  <si>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</si>
  <si>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</si>
  <si>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</si>
  <si>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</si>
  <si>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</si>
  <si>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</si>
  <si>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</si>
  <si>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</si>
  <si>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</si>
  <si>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</si>
  <si>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</si>
  <si>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</si>
  <si>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</si>
  <si>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</si>
  <si>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</si>
  <si>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</si>
  <si>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</si>
  <si>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</si>
  <si>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</si>
  <si>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</si>
  <si>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</si>
  <si>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</si>
  <si>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</si>
  <si>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</si>
  <si>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</si>
  <si>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</si>
  <si>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</si>
  <si>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</si>
  <si>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</si>
  <si>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</si>
  <si>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</si>
  <si>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</si>
  <si>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</si>
  <si>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</si>
  <si>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</si>
  <si>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</si>
  <si>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</si>
  <si>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</si>
  <si>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</si>
  <si>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</si>
  <si>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</si>
  <si>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</si>
  <si>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</si>
  <si>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</si>
  <si>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</si>
  <si>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</si>
  <si>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</si>
  <si>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</si>
  <si>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</si>
  <si>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</si>
  <si>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</si>
  <si>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</si>
  <si>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</si>
  <si>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</si>
  <si>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</si>
  <si>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</si>
  <si>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</si>
  <si>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</si>
  <si>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</si>
  <si>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</si>
  <si>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</si>
  <si>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</si>
  <si>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</si>
  <si>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</si>
  <si>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</si>
  <si>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</si>
  <si>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</si>
  <si>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</si>
  <si>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</si>
  <si>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</si>
  <si>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</si>
  <si>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</si>
  <si>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</si>
  <si>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</si>
  <si>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</si>
  <si>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</si>
  <si>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</si>
  <si>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</si>
  <si>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</si>
  <si>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</si>
  <si>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</si>
  <si>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</si>
  <si>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</si>
  <si>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</si>
  <si>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</si>
  <si>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</si>
  <si>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</si>
  <si>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</si>
  <si>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</si>
  <si>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</si>
  <si>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</si>
  <si>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</si>
  <si>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</si>
  <si>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</si>
  <si>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</si>
  <si>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</si>
  <si>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</si>
  <si>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</si>
  <si>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</si>
  <si>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</si>
  <si>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</si>
  <si>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</si>
  <si>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</si>
  <si>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</si>
  <si>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</si>
  <si>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</si>
  <si>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</si>
  <si>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</si>
  <si>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</si>
  <si>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</si>
  <si>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</si>
  <si>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</si>
  <si>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</si>
  <si>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</si>
  <si>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</si>
  <si>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</si>
  <si>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</si>
  <si>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</si>
  <si>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</si>
  <si>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</si>
  <si>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</si>
  <si>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</si>
  <si>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</si>
  <si>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</si>
  <si>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</si>
  <si>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</si>
  <si>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</si>
  <si>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</si>
  <si>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</si>
  <si>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</si>
  <si>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</si>
  <si>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</si>
  <si>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</si>
  <si>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</si>
  <si>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</si>
  <si>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</si>
  <si>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</si>
  <si>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</si>
  <si>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</si>
  <si>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</si>
  <si>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</si>
  <si>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</si>
  <si>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</si>
  <si>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</si>
  <si>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</si>
  <si>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</si>
  <si>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</si>
  <si>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</si>
  <si>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</si>
  <si>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</si>
  <si>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</si>
  <si>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</si>
  <si>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</si>
  <si>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</si>
  <si>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</si>
  <si>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</si>
  <si>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</si>
  <si>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</si>
  <si>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</si>
  <si>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</si>
  <si>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</si>
  <si>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</si>
  <si>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</si>
  <si>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</si>
  <si>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</si>
  <si>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</si>
  <si>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</si>
  <si>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</si>
  <si>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</si>
  <si>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</si>
  <si>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</si>
  <si>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</si>
  <si>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</si>
  <si>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</si>
  <si>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</si>
  <si>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</si>
  <si>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</si>
  <si>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</si>
  <si>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</si>
  <si>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</si>
  <si>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</si>
  <si>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</si>
  <si>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</si>
  <si>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</si>
  <si>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</si>
  <si>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</si>
  <si>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</si>
  <si>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</si>
  <si>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</si>
  <si>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</si>
  <si>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</si>
  <si>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</si>
  <si>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</si>
  <si>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</si>
  <si>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</si>
  <si>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</si>
  <si>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</si>
  <si>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</si>
  <si>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</si>
  <si>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</si>
  <si>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</si>
  <si>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</si>
  <si>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</si>
  <si>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</si>
  <si>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</si>
  <si>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</si>
  <si>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</si>
  <si>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</si>
  <si>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</si>
  <si>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</si>
  <si>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</si>
  <si>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</si>
  <si>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</si>
  <si>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</si>
  <si>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</si>
  <si>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</si>
  <si>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</si>
  <si>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</si>
  <si>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</si>
  <si>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</si>
  <si>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</si>
  <si>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</si>
  <si>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</si>
  <si>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</si>
  <si>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</si>
  <si>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</si>
  <si>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</si>
  <si>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</si>
  <si>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</si>
  <si>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</si>
  <si>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</si>
  <si>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</si>
  <si>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</si>
  <si>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</si>
  <si>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</si>
  <si>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</si>
  <si>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</si>
  <si>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</si>
  <si>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</si>
  <si>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</si>
  <si>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</si>
  <si>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</si>
  <si>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</si>
  <si>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</si>
  <si>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</si>
  <si>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</si>
  <si>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</si>
  <si>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</si>
  <si>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</si>
  <si>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</si>
  <si>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</si>
  <si>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</si>
  <si>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</si>
  <si>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</si>
  <si>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</si>
  <si>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</si>
  <si>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</si>
  <si>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</si>
  <si>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</si>
  <si>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</si>
  <si>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</si>
  <si>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</si>
  <si>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</si>
  <si>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</si>
  <si>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</si>
  <si>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</si>
  <si>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</si>
  <si>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</si>
  <si>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</si>
  <si>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</si>
  <si>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</si>
  <si>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</si>
  <si>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</si>
  <si>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</si>
  <si>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</si>
  <si>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</si>
  <si>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</si>
  <si>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</si>
  <si>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</si>
  <si>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</si>
  <si>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</si>
  <si>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</si>
  <si>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</si>
  <si>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</si>
  <si>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</si>
  <si>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</si>
  <si>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</si>
  <si>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</si>
  <si>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</si>
  <si>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</si>
  <si>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</si>
  <si>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</si>
  <si>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</si>
  <si>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</si>
  <si>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</si>
  <si>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</si>
  <si>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</si>
  <si>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</si>
  <si>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</si>
  <si>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</si>
  <si>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</si>
  <si>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</si>
  <si>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</si>
  <si>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</si>
  <si>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</si>
  <si>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</si>
  <si>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</si>
  <si>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</si>
  <si>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</si>
  <si>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</si>
  <si>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</si>
  <si>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</si>
  <si>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</si>
  <si>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</si>
  <si>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</si>
  <si>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</si>
  <si>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</si>
  <si>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</si>
  <si>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</si>
  <si>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</si>
  <si>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</si>
  <si>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</si>
  <si>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</si>
  <si>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</si>
  <si>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</si>
  <si>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</si>
  <si>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</si>
  <si>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</si>
  <si>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</si>
  <si>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</si>
  <si>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</si>
  <si>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</si>
  <si>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</si>
  <si>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</si>
  <si>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</si>
  <si>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(All)</t>
  </si>
  <si>
    <t>Count of Transaction_ID</t>
  </si>
  <si>
    <t>Average of Expenses</t>
  </si>
  <si>
    <t>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</si>
</sst>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_);_(* \(#,##0\);_(* &quot;-&quot;??_);_(@_)"/>
    <numFmt numFmtId="168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8" fontId="0" fillId="0" borderId="0" xfId="0" applyNumberFormat="1"/>
    <xf numFmtId="43" fontId="0" fillId="0" borderId="0" xfId="0" pivotButton="1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168" formatCode="_ * #,##0_ ;_ * \-#,##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7" formatCode="_ * #,##0.0_ ;_ * \-#,##0.0_ ;_ * &quot;-&quot;??_ ;_ @_ "/>
    </dxf>
    <dxf>
      <numFmt numFmtId="168" formatCode="_ * #,##0_ ;_ * \-#,##0_ ;_ * &quot;-&quot;??_ ;_ @_ "/>
    </dxf>
    <dxf>
      <numFmt numFmtId="35" formatCode="_ * #,##0.00_ ;_ * \-#,##0.00_ ;_ * &quot;-&quot;??_ ;_ @_ "/>
    </dxf>
    <dxf>
      <numFmt numFmtId="167" formatCode="_ * #,##0.0_ ;_ * \-#,##0.0_ ;_ * &quot;-&quot;??_ ;_ @_ "/>
    </dxf>
    <dxf>
      <numFmt numFmtId="168" formatCode="_ * #,##0_ ;_ * \-#,##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/>
  </tableStyles>
  <colors>
    <mruColors>
      <color rgb="FFFF99CC"/>
      <color rgb="FFFF99FF"/>
      <color rgb="FF9933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Total Profit By Pyment Methods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7-430F-8D2A-2B8CD77C03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8346960"/>
        <c:axId val="1258356112"/>
      </c:barChart>
      <c:catAx>
        <c:axId val="125834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56112"/>
        <c:crosses val="autoZero"/>
        <c:auto val="1"/>
        <c:lblAlgn val="ctr"/>
        <c:lblOffset val="100"/>
        <c:noMultiLvlLbl val="0"/>
      </c:catAx>
      <c:valAx>
        <c:axId val="12583561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2583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Total Revenue By Product</a:t>
            </a:r>
            <a:r>
              <a:rPr lang="en-US" b="1" i="1" u="sng" baseline="0">
                <a:solidFill>
                  <a:schemeClr val="accent2">
                    <a:lumMod val="50000"/>
                  </a:schemeClr>
                </a:solidFill>
              </a:rPr>
              <a:t> L</a:t>
            </a: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016377141001703"/>
          <c:y val="8.1362799263351743E-2"/>
          <c:w val="0.8569496306518386"/>
          <c:h val="0.822872928176795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C-493F-8AC6-F3BFBD530E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4377440"/>
        <c:axId val="1254380768"/>
      </c:barChart>
      <c:catAx>
        <c:axId val="125437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80768"/>
        <c:crosses val="autoZero"/>
        <c:auto val="1"/>
        <c:lblAlgn val="ctr"/>
        <c:lblOffset val="100"/>
        <c:noMultiLvlLbl val="0"/>
      </c:catAx>
      <c:valAx>
        <c:axId val="1254380768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25437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[Excel_Report_Data_Dashboard_Project.xlsx]Pivot3!PivotTable6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>
                <a:solidFill>
                  <a:schemeClr val="accent2">
                    <a:lumMod val="50000"/>
                  </a:schemeClr>
                </a:solidFill>
              </a:rPr>
              <a:t>Total  Rvenue/Expense/Profit/ by Category</a:t>
            </a:r>
          </a:p>
        </c:rich>
      </c:tx>
      <c:layout>
        <c:manualLayout>
          <c:xMode val="edge"/>
          <c:yMode val="edge"/>
          <c:x val="0.26969848165142807"/>
          <c:y val="3.1328034930213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6236365730084364E-2"/>
          <c:y val="0.15149446856526111"/>
          <c:w val="0.82200514100574451"/>
          <c:h val="0.76076575549940173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4-457B-8E2F-A3DA95FCBDB0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4-457B-8E2F-A3DA95FCBDB0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4-457B-8E2F-A3DA95FCBD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4393248"/>
        <c:axId val="1254382016"/>
      </c:lineChart>
      <c:catAx>
        <c:axId val="12543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82016"/>
        <c:crosses val="autoZero"/>
        <c:auto val="1"/>
        <c:lblAlgn val="ctr"/>
        <c:lblOffset val="100"/>
        <c:noMultiLvlLbl val="0"/>
      </c:catAx>
      <c:valAx>
        <c:axId val="125438201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25439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[Excel_Report_Data_Dashboard_Project.xlsx]Pivot4!PivotTable7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Number</a:t>
            </a:r>
            <a:r>
              <a:rPr lang="en-US" b="1" i="1" u="sng" baseline="0">
                <a:solidFill>
                  <a:schemeClr val="accent2">
                    <a:lumMod val="50000"/>
                  </a:schemeClr>
                </a:solidFill>
              </a:rPr>
              <a:t> of Transaction by Reasion</a:t>
            </a:r>
            <a:endParaRPr lang="en-US" b="1" i="1" u="sng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dLbl>
          <c:idx val="0"/>
          <c:layout>
            <c:manualLayout>
              <c:x val="0.10061242344706911"/>
              <c:y val="-0.37827715355805253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5.6867891513560802E-2"/>
              <c:y val="-0.3258426966292135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8.3114610673665795E-2"/>
              <c:y val="-0.2808988764044944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2.8433945756780564E-2"/>
              <c:y val="-0.2996254681647940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4.5931758530183726E-2"/>
              <c:y val="-0.25842696629213491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0061242344706911"/>
              <c:y val="-0.378277153558052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3114610673665795E-2"/>
              <c:y val="-0.28089887640449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5931758530183726E-2"/>
              <c:y val="-0.2584269662921349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5.6867891513560802E-2"/>
              <c:y val="-0.32584269662921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8433945756780564E-2"/>
              <c:y val="-0.2996254681647940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dLbl>
          <c:idx val="0"/>
          <c:layout>
            <c:manualLayout>
              <c:x val="0.10061242344706911"/>
              <c:y val="-0.378277153558052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5"/>
        <c:dLbl>
          <c:idx val="0"/>
          <c:layout>
            <c:manualLayout>
              <c:x val="8.3114610673665795E-2"/>
              <c:y val="-0.28089887640449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6"/>
        <c:dLbl>
          <c:idx val="0"/>
          <c:layout>
            <c:manualLayout>
              <c:x val="4.5931758530183726E-2"/>
              <c:y val="-0.2584269662921349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7"/>
        <c:dLbl>
          <c:idx val="0"/>
          <c:layout>
            <c:manualLayout>
              <c:x val="5.6867891513560802E-2"/>
              <c:y val="-0.32584269662921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8"/>
        <c:dLbl>
          <c:idx val="0"/>
          <c:layout>
            <c:manualLayout>
              <c:x val="-2.8433945756780564E-2"/>
              <c:y val="-0.2996254681647940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D3-4F04-B81F-207C5AE0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383264"/>
        <c:axId val="1254385760"/>
      </c:areaChart>
      <c:catAx>
        <c:axId val="125438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85760"/>
        <c:crosses val="autoZero"/>
        <c:auto val="1"/>
        <c:lblAlgn val="ctr"/>
        <c:lblOffset val="100"/>
        <c:noMultiLvlLbl val="0"/>
      </c:catAx>
      <c:valAx>
        <c:axId val="1254385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438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[Excel_Report_Data_Dashboard_Project.xlsx]Pivot5!PivotTable8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Average Expense For</a:t>
            </a:r>
            <a:r>
              <a:rPr lang="en-US" b="1" i="1" u="sng" baseline="0">
                <a:solidFill>
                  <a:schemeClr val="accent2">
                    <a:lumMod val="50000"/>
                  </a:schemeClr>
                </a:solidFill>
              </a:rPr>
              <a:t> Each Category</a:t>
            </a:r>
            <a:endParaRPr lang="en-US" b="1" i="1" u="sng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00-4F11-B9B1-0B6F43929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00-4F11-B9B1-0B6F43929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00-4F11-B9B1-0B6F439290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00-4F11-B9B1-0B6F439290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00-4F11-B9B1-0B6F439290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00-4F11-B9B1-0B6F439290B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00-4F11-B9B1-0B6F43929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Total Profit By Pyment Methods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8-46A6-9F3F-C771DDE330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8346960"/>
        <c:axId val="1258356112"/>
      </c:barChart>
      <c:catAx>
        <c:axId val="125834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56112"/>
        <c:crosses val="autoZero"/>
        <c:auto val="1"/>
        <c:lblAlgn val="ctr"/>
        <c:lblOffset val="100"/>
        <c:noMultiLvlLbl val="0"/>
      </c:catAx>
      <c:valAx>
        <c:axId val="12583561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2583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Total Revenue By Product</a:t>
            </a:r>
            <a:r>
              <a:rPr lang="en-US" b="1" i="1" u="sng" baseline="0">
                <a:solidFill>
                  <a:schemeClr val="accent2">
                    <a:lumMod val="50000"/>
                  </a:schemeClr>
                </a:solidFill>
              </a:rPr>
              <a:t> L</a:t>
            </a: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016377141001703"/>
          <c:y val="8.1362799263351743E-2"/>
          <c:w val="0.8569496306518386"/>
          <c:h val="0.822872928176795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2-4F08-9945-F582C58224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4377440"/>
        <c:axId val="1254380768"/>
      </c:barChart>
      <c:catAx>
        <c:axId val="125437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80768"/>
        <c:crosses val="autoZero"/>
        <c:auto val="1"/>
        <c:lblAlgn val="ctr"/>
        <c:lblOffset val="100"/>
        <c:noMultiLvlLbl val="0"/>
      </c:catAx>
      <c:valAx>
        <c:axId val="1254380768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25437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>
                <a:solidFill>
                  <a:schemeClr val="accent2">
                    <a:lumMod val="50000"/>
                  </a:schemeClr>
                </a:solidFill>
              </a:rPr>
              <a:t>Total  Rvenue/Expense/Profit/ by Category</a:t>
            </a:r>
          </a:p>
        </c:rich>
      </c:tx>
      <c:layout>
        <c:manualLayout>
          <c:xMode val="edge"/>
          <c:yMode val="edge"/>
          <c:x val="0.26969848165182558"/>
          <c:y val="5.4692562209062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6236345402040154E-2"/>
          <c:y val="0.19043529449178651"/>
          <c:w val="0.82200514100574451"/>
          <c:h val="0.76076575549940173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6-4320-B0C5-CF6AFF678A4F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6-4320-B0C5-CF6AFF678A4F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36-4320-B0C5-CF6AFF678A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4393248"/>
        <c:axId val="1254382016"/>
      </c:lineChart>
      <c:catAx>
        <c:axId val="12543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82016"/>
        <c:crosses val="autoZero"/>
        <c:auto val="1"/>
        <c:lblAlgn val="ctr"/>
        <c:lblOffset val="100"/>
        <c:noMultiLvlLbl val="0"/>
      </c:catAx>
      <c:valAx>
        <c:axId val="125438201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25439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Number</a:t>
            </a:r>
            <a:r>
              <a:rPr lang="en-US" b="1" i="1" u="sng" baseline="0">
                <a:solidFill>
                  <a:schemeClr val="accent2">
                    <a:lumMod val="50000"/>
                  </a:schemeClr>
                </a:solidFill>
              </a:rPr>
              <a:t> of Transaction by Reasion</a:t>
            </a:r>
            <a:endParaRPr lang="en-US" b="1" i="1" u="sng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dLbl>
          <c:idx val="0"/>
          <c:layout>
            <c:manualLayout>
              <c:x val="0.10061242344706911"/>
              <c:y val="-0.37827715355805253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dLbl>
          <c:idx val="0"/>
          <c:layout>
            <c:manualLayout>
              <c:x val="5.6867891513560802E-2"/>
              <c:y val="-0.3258426966292135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layout>
            <c:manualLayout>
              <c:x val="8.3114610673665795E-2"/>
              <c:y val="-0.2808988764044944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dLbl>
          <c:idx val="0"/>
          <c:layout>
            <c:manualLayout>
              <c:x val="-2.8433945756780564E-2"/>
              <c:y val="-0.2996254681647940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dLbl>
          <c:idx val="0"/>
          <c:layout>
            <c:manualLayout>
              <c:x val="4.5931758530183726E-2"/>
              <c:y val="-0.25842696629213491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A-44BB-BEE9-D16CE24F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383264"/>
        <c:axId val="1254385760"/>
      </c:areaChart>
      <c:catAx>
        <c:axId val="125438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85760"/>
        <c:crosses val="autoZero"/>
        <c:auto val="1"/>
        <c:lblAlgn val="ctr"/>
        <c:lblOffset val="100"/>
        <c:noMultiLvlLbl val="0"/>
      </c:catAx>
      <c:valAx>
        <c:axId val="1254385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438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[Excel_Report_Data_Dashboard_Project.xlsx]Pivot5!PivotTable8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50000"/>
                  </a:schemeClr>
                </a:solidFill>
              </a:rPr>
              <a:t>Average Expense For</a:t>
            </a:r>
            <a:r>
              <a:rPr lang="en-US" b="1" i="1" u="sng" baseline="0">
                <a:solidFill>
                  <a:schemeClr val="accent2">
                    <a:lumMod val="50000"/>
                  </a:schemeClr>
                </a:solidFill>
              </a:rPr>
              <a:t> Each Category</a:t>
            </a:r>
            <a:endParaRPr lang="en-US" b="1" i="1" u="sng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1-4C5C-8E32-55E1C36ED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335644</xdr:colOff>
      <xdr:row>5</xdr:row>
      <xdr:rowOff>0</xdr:rowOff>
    </xdr:from>
    <xdr:to>
      <xdr:col>9</xdr:col>
      <xdr:colOff>213360</xdr:colOff>
      <xdr:row>26</xdr:row>
      <xdr:rowOff>76199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365760</xdr:colOff>
      <xdr:row>5</xdr:row>
      <xdr:rowOff>0</xdr:rowOff>
    </xdr:from>
    <xdr:to>
      <xdr:col>18</xdr:col>
      <xdr:colOff>502920</xdr:colOff>
      <xdr:row>26</xdr:row>
      <xdr:rowOff>45720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317501</xdr:colOff>
      <xdr:row>27</xdr:row>
      <xdr:rowOff>60960</xdr:rowOff>
    </xdr:from>
    <xdr:to>
      <xdr:col>18</xdr:col>
      <xdr:colOff>304800</xdr:colOff>
      <xdr:row>54</xdr:row>
      <xdr:rowOff>15240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91440</xdr:colOff>
      <xdr:row>5</xdr:row>
      <xdr:rowOff>0</xdr:rowOff>
    </xdr:from>
    <xdr:to>
      <xdr:col>30</xdr:col>
      <xdr:colOff>518160</xdr:colOff>
      <xdr:row>26</xdr:row>
      <xdr:rowOff>15240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487680</xdr:colOff>
      <xdr:row>27</xdr:row>
      <xdr:rowOff>45720</xdr:rowOff>
    </xdr:from>
    <xdr:to>
      <xdr:col>30</xdr:col>
      <xdr:colOff>533400</xdr:colOff>
      <xdr:row>54</xdr:row>
      <xdr:rowOff>60960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5</xdr:row>
      <xdr:rowOff>3810</xdr:rowOff>
    </xdr:from>
    <xdr:to>
      <xdr:col>11</xdr:col>
      <xdr:colOff>541020</xdr:colOff>
      <xdr:row>24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5</xdr:row>
      <xdr:rowOff>140970</xdr:rowOff>
    </xdr:from>
    <xdr:to>
      <xdr:col>12</xdr:col>
      <xdr:colOff>91440</xdr:colOff>
      <xdr:row>24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510539</xdr:colOff>
      <xdr:row>2</xdr:row>
      <xdr:rowOff>57978</xdr:rowOff>
    </xdr:from>
    <xdr:to>
      <xdr:col>19</xdr:col>
      <xdr:colOff>29307</xdr:colOff>
      <xdr:row>35</xdr:row>
      <xdr:rowOff>8282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4</xdr:row>
      <xdr:rowOff>160020</xdr:rowOff>
    </xdr:from>
    <xdr:to>
      <xdr:col>13</xdr:col>
      <xdr:colOff>556260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6</xdr:row>
      <xdr:rowOff>7620</xdr:rowOff>
    </xdr:from>
    <xdr:to>
      <xdr:col>13</xdr:col>
      <xdr:colOff>541020</xdr:colOff>
      <xdr:row>25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yant Topnani" refreshedDate="45547.380320949072" createdVersion="8" refreshedVersion="8" minRefreshableVersion="3" recordCount="2000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rowHeaderCaption="Region">
  <location ref="A18:C49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3" numFmtId="168"/>
  </dataFields>
  <formats count="3">
    <format dxfId="16">
      <pivotArea outline="0" collapsedLevelsAreSubtotals="1" fieldPosition="0"/>
    </format>
    <format dxfId="17">
      <pivotArea outline="0" collapsedLevelsAreSubtotals="1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3"/>
    </i>
    <i>
      <x v="2"/>
    </i>
    <i>
      <x v="1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Total Profit" fld="4" baseField="6" baseItem="3" numFmtId="168"/>
  </dataFields>
  <formats count="3">
    <format dxfId="13">
      <pivotArea outline="0" collapsedLevelsAreSubtotals="1" fieldPosition="0"/>
    </format>
    <format dxfId="14">
      <pivotArea outline="0" collapsedLevelsAreSubtotals="1" fieldPosition="0"/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8"/>
  </dataFields>
  <formats count="3"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8"/>
  </dataFields>
  <formats count="3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3"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3" numFmtId="168"/>
  </dataFields>
  <formats count="4">
    <format dxfId="3">
      <pivotArea field="7" type="button" dataOnly="0" labelOnly="1" outline="0" axis="axisRow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2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28"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F7" sqref="F7"/>
    </sheetView>
  </sheetViews>
  <sheetFormatPr defaultRowHeight="14.4" x14ac:dyDescent="0.3"/>
  <cols>
    <col min="1" max="1" width="17" customWidth="1"/>
    <col min="2" max="2" width="16.109375" customWidth="1"/>
    <col min="3" max="4" width="10" customWidth="1"/>
    <col min="5" max="5" width="10" bestFit="1" customWidth="1"/>
    <col min="6" max="6" width="10" customWidth="1"/>
    <col min="7" max="7" width="11.5546875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2050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36</v>
      </c>
      <c r="B6" s="7">
        <v>893741</v>
      </c>
      <c r="C6" s="7">
        <v>1533037</v>
      </c>
      <c r="D6" s="7">
        <v>798450</v>
      </c>
      <c r="E6" s="7">
        <v>2738964</v>
      </c>
      <c r="F6" s="7">
        <v>772452</v>
      </c>
      <c r="G6" s="7">
        <v>6736644</v>
      </c>
    </row>
    <row r="7" spans="1:7" x14ac:dyDescent="0.3">
      <c r="A7" s="4" t="s">
        <v>26</v>
      </c>
      <c r="B7" s="7">
        <v>268550</v>
      </c>
      <c r="C7" s="7">
        <v>669173</v>
      </c>
      <c r="D7" s="7">
        <v>173505</v>
      </c>
      <c r="E7" s="7">
        <v>1421065</v>
      </c>
      <c r="F7" s="7">
        <v>610890</v>
      </c>
      <c r="G7" s="7">
        <v>3143183</v>
      </c>
    </row>
    <row r="8" spans="1:7" x14ac:dyDescent="0.3">
      <c r="A8" s="4" t="s">
        <v>14</v>
      </c>
      <c r="B8" s="7">
        <v>384456</v>
      </c>
      <c r="C8" s="7">
        <v>341646</v>
      </c>
      <c r="D8" s="7">
        <v>192977</v>
      </c>
      <c r="E8" s="7">
        <v>1259246</v>
      </c>
      <c r="F8" s="7">
        <v>523188</v>
      </c>
      <c r="G8" s="7">
        <v>2701513</v>
      </c>
    </row>
    <row r="9" spans="1:7" x14ac:dyDescent="0.3">
      <c r="A9" s="4" t="s">
        <v>40</v>
      </c>
      <c r="B9" s="7">
        <v>361951</v>
      </c>
      <c r="C9" s="7">
        <v>338036</v>
      </c>
      <c r="D9" s="7">
        <v>158725</v>
      </c>
      <c r="E9" s="7">
        <v>676698</v>
      </c>
      <c r="F9" s="7">
        <v>339730</v>
      </c>
      <c r="G9" s="7">
        <v>1875140</v>
      </c>
    </row>
    <row r="10" spans="1:7" x14ac:dyDescent="0.3">
      <c r="A10" s="4" t="s">
        <v>30</v>
      </c>
      <c r="B10" s="7">
        <v>281888</v>
      </c>
      <c r="C10" s="7">
        <v>245206</v>
      </c>
      <c r="D10" s="7">
        <v>118371</v>
      </c>
      <c r="E10" s="7">
        <v>705589</v>
      </c>
      <c r="F10" s="7">
        <v>299722</v>
      </c>
      <c r="G10" s="7">
        <v>1650776</v>
      </c>
    </row>
    <row r="11" spans="1:7" x14ac:dyDescent="0.3">
      <c r="A11" s="4" t="s">
        <v>2037</v>
      </c>
      <c r="B11" s="7">
        <v>2190586</v>
      </c>
      <c r="C11" s="7">
        <v>3127098</v>
      </c>
      <c r="D11" s="7">
        <v>1442028</v>
      </c>
      <c r="E11" s="7">
        <v>6801562</v>
      </c>
      <c r="F11" s="7">
        <v>2545982</v>
      </c>
      <c r="G11" s="7">
        <v>16107256</v>
      </c>
    </row>
    <row r="16" spans="1:7" x14ac:dyDescent="0.3">
      <c r="A16" s="3" t="s">
        <v>10</v>
      </c>
      <c r="B16" t="s">
        <v>2045</v>
      </c>
    </row>
    <row r="18" spans="1:3" x14ac:dyDescent="0.3">
      <c r="A18" s="3" t="s">
        <v>6</v>
      </c>
      <c r="B18" s="3" t="s">
        <v>8</v>
      </c>
      <c r="C18" t="s">
        <v>2038</v>
      </c>
    </row>
    <row r="19" spans="1:3" x14ac:dyDescent="0.3">
      <c r="A19" t="s">
        <v>36</v>
      </c>
      <c r="B19" t="s">
        <v>41</v>
      </c>
      <c r="C19" s="7">
        <v>698345</v>
      </c>
    </row>
    <row r="20" spans="1:3" x14ac:dyDescent="0.3">
      <c r="B20" t="s">
        <v>27</v>
      </c>
      <c r="C20" s="7">
        <v>1162918</v>
      </c>
    </row>
    <row r="21" spans="1:3" x14ac:dyDescent="0.3">
      <c r="B21" t="s">
        <v>22</v>
      </c>
      <c r="C21" s="7">
        <v>620620</v>
      </c>
    </row>
    <row r="22" spans="1:3" x14ac:dyDescent="0.3">
      <c r="B22" t="s">
        <v>31</v>
      </c>
      <c r="C22" s="7">
        <v>2243948</v>
      </c>
    </row>
    <row r="23" spans="1:3" x14ac:dyDescent="0.3">
      <c r="B23" t="s">
        <v>16</v>
      </c>
      <c r="C23" s="7">
        <v>626361</v>
      </c>
    </row>
    <row r="24" spans="1:3" x14ac:dyDescent="0.3">
      <c r="A24" t="s">
        <v>2044</v>
      </c>
      <c r="C24" s="7">
        <v>5352192</v>
      </c>
    </row>
    <row r="25" spans="1:3" x14ac:dyDescent="0.3">
      <c r="A25" t="s">
        <v>26</v>
      </c>
      <c r="B25" t="s">
        <v>41</v>
      </c>
      <c r="C25" s="7">
        <v>276126</v>
      </c>
    </row>
    <row r="26" spans="1:3" x14ac:dyDescent="0.3">
      <c r="B26" t="s">
        <v>27</v>
      </c>
      <c r="C26" s="7">
        <v>377912</v>
      </c>
    </row>
    <row r="27" spans="1:3" x14ac:dyDescent="0.3">
      <c r="B27" t="s">
        <v>22</v>
      </c>
      <c r="C27" s="7">
        <v>164690</v>
      </c>
    </row>
    <row r="28" spans="1:3" x14ac:dyDescent="0.3">
      <c r="B28" t="s">
        <v>31</v>
      </c>
      <c r="C28" s="7">
        <v>1012699</v>
      </c>
    </row>
    <row r="29" spans="1:3" x14ac:dyDescent="0.3">
      <c r="B29" t="s">
        <v>16</v>
      </c>
      <c r="C29" s="7">
        <v>540954</v>
      </c>
    </row>
    <row r="30" spans="1:3" x14ac:dyDescent="0.3">
      <c r="A30" t="s">
        <v>2043</v>
      </c>
      <c r="C30" s="7">
        <v>2372381</v>
      </c>
    </row>
    <row r="31" spans="1:3" x14ac:dyDescent="0.3">
      <c r="A31" t="s">
        <v>14</v>
      </c>
      <c r="B31" t="s">
        <v>41</v>
      </c>
      <c r="C31" s="7">
        <v>436037</v>
      </c>
    </row>
    <row r="32" spans="1:3" x14ac:dyDescent="0.3">
      <c r="B32" t="s">
        <v>27</v>
      </c>
      <c r="C32" s="7">
        <v>278836</v>
      </c>
    </row>
    <row r="33" spans="1:3" x14ac:dyDescent="0.3">
      <c r="B33" t="s">
        <v>22</v>
      </c>
      <c r="C33" s="7">
        <v>193813</v>
      </c>
    </row>
    <row r="34" spans="1:3" x14ac:dyDescent="0.3">
      <c r="B34" t="s">
        <v>31</v>
      </c>
      <c r="C34" s="7">
        <v>1009798</v>
      </c>
    </row>
    <row r="35" spans="1:3" x14ac:dyDescent="0.3">
      <c r="B35" t="s">
        <v>16</v>
      </c>
      <c r="C35" s="7">
        <v>357008</v>
      </c>
    </row>
    <row r="36" spans="1:3" x14ac:dyDescent="0.3">
      <c r="A36" t="s">
        <v>2042</v>
      </c>
      <c r="C36" s="7">
        <v>2275492</v>
      </c>
    </row>
    <row r="37" spans="1:3" x14ac:dyDescent="0.3">
      <c r="A37" t="s">
        <v>30</v>
      </c>
      <c r="B37" t="s">
        <v>41</v>
      </c>
      <c r="C37" s="7">
        <v>268316</v>
      </c>
    </row>
    <row r="38" spans="1:3" x14ac:dyDescent="0.3">
      <c r="B38" t="s">
        <v>27</v>
      </c>
      <c r="C38" s="7">
        <v>187730</v>
      </c>
    </row>
    <row r="39" spans="1:3" x14ac:dyDescent="0.3">
      <c r="B39" t="s">
        <v>22</v>
      </c>
      <c r="C39" s="7">
        <v>191265</v>
      </c>
    </row>
    <row r="40" spans="1:3" x14ac:dyDescent="0.3">
      <c r="B40" t="s">
        <v>31</v>
      </c>
      <c r="C40" s="7">
        <v>549053</v>
      </c>
    </row>
    <row r="41" spans="1:3" x14ac:dyDescent="0.3">
      <c r="B41" t="s">
        <v>16</v>
      </c>
      <c r="C41" s="7">
        <v>186486</v>
      </c>
    </row>
    <row r="42" spans="1:3" x14ac:dyDescent="0.3">
      <c r="A42" t="s">
        <v>2040</v>
      </c>
      <c r="C42" s="7">
        <v>1382850</v>
      </c>
    </row>
    <row r="43" spans="1:3" x14ac:dyDescent="0.3">
      <c r="A43" t="s">
        <v>40</v>
      </c>
      <c r="B43" t="s">
        <v>41</v>
      </c>
      <c r="C43" s="7">
        <v>139099</v>
      </c>
    </row>
    <row r="44" spans="1:3" x14ac:dyDescent="0.3">
      <c r="B44" t="s">
        <v>27</v>
      </c>
      <c r="C44" s="7">
        <v>378352</v>
      </c>
    </row>
    <row r="45" spans="1:3" x14ac:dyDescent="0.3">
      <c r="B45" t="s">
        <v>22</v>
      </c>
      <c r="C45" s="7">
        <v>132938</v>
      </c>
    </row>
    <row r="46" spans="1:3" x14ac:dyDescent="0.3">
      <c r="B46" t="s">
        <v>31</v>
      </c>
      <c r="C46" s="7">
        <v>465128</v>
      </c>
    </row>
    <row r="47" spans="1:3" x14ac:dyDescent="0.3">
      <c r="B47" t="s">
        <v>16</v>
      </c>
      <c r="C47" s="7">
        <v>144667</v>
      </c>
    </row>
    <row r="48" spans="1:3" x14ac:dyDescent="0.3">
      <c r="A48" t="s">
        <v>2041</v>
      </c>
      <c r="C48" s="7">
        <v>1260184</v>
      </c>
    </row>
    <row r="49" spans="1:3" x14ac:dyDescent="0.3">
      <c r="A49" t="s">
        <v>2037</v>
      </c>
      <c r="C49" s="7">
        <v>12643099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tabSelected="1" zoomScale="50" zoomScaleNormal="50" workbookViewId="0">
      <selection activeCell="AH3" sqref="AH3"/>
    </sheetView>
  </sheetViews>
  <sheetFormatPr defaultRowHeight="14.4" x14ac:dyDescent="0.3"/>
  <sheetData>
    <row r="1" spans="1:31" ht="14.4" customHeight="1" x14ac:dyDescent="0.3">
      <c r="A1" s="9" t="s">
        <v>2053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</sheetData>
  <mergeCells count="1">
    <mergeCell ref="A1:A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18" sqref="B18"/>
    </sheetView>
  </sheetViews>
  <sheetFormatPr defaultRowHeight="14.4" x14ac:dyDescent="0.3"/>
  <cols>
    <col min="1" max="1" width="12.5546875" customWidth="1"/>
    <col min="2" max="2" width="19.33203125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7">
        <v>3629433</v>
      </c>
    </row>
    <row r="5" spans="1:2" x14ac:dyDescent="0.3">
      <c r="A5" s="4" t="s">
        <v>18</v>
      </c>
      <c r="B5" s="7">
        <v>9013666</v>
      </c>
    </row>
    <row r="6" spans="1:2" x14ac:dyDescent="0.3">
      <c r="A6" s="4" t="s">
        <v>33</v>
      </c>
      <c r="B6" s="7">
        <v>5030165</v>
      </c>
    </row>
    <row r="7" spans="1:2" x14ac:dyDescent="0.3">
      <c r="A7" s="4" t="s">
        <v>51</v>
      </c>
      <c r="B7" s="7">
        <v>2820265</v>
      </c>
    </row>
    <row r="8" spans="1:2" x14ac:dyDescent="0.3">
      <c r="A8" s="4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9"/>
  <sheetViews>
    <sheetView workbookViewId="0">
      <selection activeCell="B30" sqref="B30"/>
    </sheetView>
  </sheetViews>
  <sheetFormatPr defaultRowHeight="14.4" x14ac:dyDescent="0.3"/>
  <cols>
    <col min="1" max="1" width="15.33203125" customWidth="1"/>
    <col min="2" max="2" width="18.5546875" customWidth="1"/>
  </cols>
  <sheetData>
    <row r="3" spans="1:14" x14ac:dyDescent="0.3">
      <c r="A3" s="3" t="s">
        <v>2046</v>
      </c>
      <c r="B3" t="s">
        <v>2048</v>
      </c>
    </row>
    <row r="4" spans="1:14" x14ac:dyDescent="0.3">
      <c r="A4" s="4" t="s">
        <v>41</v>
      </c>
      <c r="B4" s="7">
        <v>8585057</v>
      </c>
    </row>
    <row r="5" spans="1:14" x14ac:dyDescent="0.3">
      <c r="A5" s="4" t="s">
        <v>27</v>
      </c>
      <c r="B5" s="7">
        <v>10199670</v>
      </c>
    </row>
    <row r="6" spans="1:14" x14ac:dyDescent="0.3">
      <c r="A6" s="4" t="s">
        <v>22</v>
      </c>
      <c r="B6" s="7">
        <v>5496803</v>
      </c>
    </row>
    <row r="7" spans="1:14" x14ac:dyDescent="0.3">
      <c r="A7" s="4" t="s">
        <v>31</v>
      </c>
      <c r="B7" s="7">
        <v>21863582</v>
      </c>
    </row>
    <row r="8" spans="1:14" x14ac:dyDescent="0.3">
      <c r="A8" s="4" t="s">
        <v>16</v>
      </c>
      <c r="B8" s="7">
        <v>7820463</v>
      </c>
    </row>
    <row r="9" spans="1:14" x14ac:dyDescent="0.3">
      <c r="A9" s="4" t="s">
        <v>2037</v>
      </c>
      <c r="B9" s="7">
        <v>53965575</v>
      </c>
      <c r="N9">
        <v>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zoomScale="75" workbookViewId="0">
      <selection activeCell="A7" sqref="A7"/>
    </sheetView>
  </sheetViews>
  <sheetFormatPr defaultRowHeight="14.4" x14ac:dyDescent="0.3"/>
  <cols>
    <col min="1" max="1" width="12.5546875" customWidth="1"/>
    <col min="2" max="2" width="14.88671875" customWidth="1"/>
    <col min="3" max="3" width="17.21875" customWidth="1"/>
    <col min="4" max="4" width="17.77734375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7">
        <v>5399448</v>
      </c>
      <c r="C4" s="7">
        <v>3247742</v>
      </c>
      <c r="D4" s="7">
        <v>2151706</v>
      </c>
    </row>
    <row r="5" spans="1:4" x14ac:dyDescent="0.3">
      <c r="A5" s="4" t="s">
        <v>35</v>
      </c>
      <c r="B5" s="7">
        <v>8755912</v>
      </c>
      <c r="C5" s="7">
        <v>5417002</v>
      </c>
      <c r="D5" s="7">
        <v>3338910</v>
      </c>
    </row>
    <row r="6" spans="1:4" x14ac:dyDescent="0.3">
      <c r="A6" s="4" t="s">
        <v>20</v>
      </c>
      <c r="B6" s="7">
        <v>7058076</v>
      </c>
      <c r="C6" s="7">
        <v>4291785</v>
      </c>
      <c r="D6" s="7">
        <v>2766291</v>
      </c>
    </row>
    <row r="7" spans="1:4" x14ac:dyDescent="0.3">
      <c r="A7" s="4" t="s">
        <v>13</v>
      </c>
      <c r="B7" s="7">
        <v>22711986</v>
      </c>
      <c r="C7" s="7">
        <v>14381610</v>
      </c>
      <c r="D7" s="7">
        <v>8330376</v>
      </c>
    </row>
    <row r="8" spans="1:4" x14ac:dyDescent="0.3">
      <c r="A8" s="4" t="s">
        <v>29</v>
      </c>
      <c r="B8" s="7">
        <v>10040153</v>
      </c>
      <c r="C8" s="7">
        <v>6133907</v>
      </c>
      <c r="D8" s="7">
        <v>3906246</v>
      </c>
    </row>
    <row r="9" spans="1:4" x14ac:dyDescent="0.3">
      <c r="A9" s="4" t="s">
        <v>2037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G27" sqref="G27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36</v>
      </c>
      <c r="B4" s="6">
        <v>818</v>
      </c>
    </row>
    <row r="5" spans="1:2" x14ac:dyDescent="0.3">
      <c r="A5" s="4" t="s">
        <v>40</v>
      </c>
      <c r="B5" s="6">
        <v>258</v>
      </c>
    </row>
    <row r="6" spans="1:2" x14ac:dyDescent="0.3">
      <c r="A6" s="4" t="s">
        <v>14</v>
      </c>
      <c r="B6" s="6">
        <v>314</v>
      </c>
    </row>
    <row r="7" spans="1:2" x14ac:dyDescent="0.3">
      <c r="A7" s="4" t="s">
        <v>26</v>
      </c>
      <c r="B7" s="6">
        <v>411</v>
      </c>
    </row>
    <row r="8" spans="1:2" x14ac:dyDescent="0.3">
      <c r="A8" s="4" t="s">
        <v>30</v>
      </c>
      <c r="B8" s="6">
        <v>199</v>
      </c>
    </row>
    <row r="9" spans="1:2" x14ac:dyDescent="0.3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zoomScale="91" workbookViewId="0">
      <selection activeCell="D11" sqref="D11"/>
    </sheetView>
  </sheetViews>
  <sheetFormatPr defaultRowHeight="14.4" x14ac:dyDescent="0.3"/>
  <cols>
    <col min="1" max="1" width="13.44140625" bestFit="1" customWidth="1"/>
    <col min="2" max="2" width="18.44140625" bestFit="1" customWidth="1"/>
  </cols>
  <sheetData>
    <row r="3" spans="1:2" x14ac:dyDescent="0.3">
      <c r="A3" s="8" t="s">
        <v>2046</v>
      </c>
      <c r="B3" t="s">
        <v>2052</v>
      </c>
    </row>
    <row r="4" spans="1:2" x14ac:dyDescent="0.3">
      <c r="A4" s="4" t="s">
        <v>45</v>
      </c>
      <c r="B4" s="7">
        <v>15749.475903614459</v>
      </c>
    </row>
    <row r="5" spans="1:2" x14ac:dyDescent="0.3">
      <c r="A5" s="4" t="s">
        <v>15</v>
      </c>
      <c r="B5" s="7">
        <v>17351.541666666668</v>
      </c>
    </row>
    <row r="6" spans="1:2" x14ac:dyDescent="0.3">
      <c r="A6" s="4" t="s">
        <v>21</v>
      </c>
      <c r="B6" s="7">
        <v>16810.526576019776</v>
      </c>
    </row>
    <row r="7" spans="1:2" x14ac:dyDescent="0.3">
      <c r="A7" s="4" t="s">
        <v>35</v>
      </c>
      <c r="B7" s="7">
        <v>16478.297945205479</v>
      </c>
    </row>
    <row r="8" spans="1:2" x14ac:dyDescent="0.3">
      <c r="A8" s="4" t="s">
        <v>20</v>
      </c>
      <c r="B8" s="7">
        <v>17174.339449541283</v>
      </c>
    </row>
    <row r="9" spans="1:2" x14ac:dyDescent="0.3">
      <c r="A9" s="4" t="s">
        <v>29</v>
      </c>
      <c r="B9" s="7">
        <v>16627.71517027864</v>
      </c>
    </row>
    <row r="10" spans="1:2" x14ac:dyDescent="0.3">
      <c r="A10" s="4" t="s">
        <v>2037</v>
      </c>
      <c r="B10" s="7">
        <v>16736.023000000001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1"/>
  <sheetViews>
    <sheetView topLeftCell="B1973" workbookViewId="0">
      <selection activeCell="B15" sqref="B15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Dashboard</vt:lpstr>
      <vt:lpstr>Pivot1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DELL</cp:lastModifiedBy>
  <dcterms:created xsi:type="dcterms:W3CDTF">2015-06-05T18:17:20Z</dcterms:created>
  <dcterms:modified xsi:type="dcterms:W3CDTF">2026-10-04T09:49:38Z</dcterms:modified>
</cp:coreProperties>
</file>